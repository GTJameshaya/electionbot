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МКД\Волкова\2025\11 Ноябрь\"/>
    </mc:Choice>
  </mc:AlternateContent>
  <xr:revisionPtr revIDLastSave="0" documentId="13_ncr:1_{50C39B95-129C-4277-BDF7-4BADCC694C38}" xr6:coauthVersionLast="47" xr6:coauthVersionMax="47" xr10:uidLastSave="{00000000-0000-0000-0000-000000000000}"/>
  <bookViews>
    <workbookView xWindow="8235" yWindow="2430" windowWidth="19410" windowHeight="11295" xr2:uid="{00000000-000D-0000-FFFF-FFFF00000000}"/>
  </bookViews>
  <sheets>
    <sheet name="ЭЛЕКТРИЧЕСТВО" sheetId="2" r:id="rId1"/>
    <sheet name="Лист1" sheetId="3" state="hidden" r:id="rId2"/>
  </sheets>
  <calcPr calcId="191029"/>
</workbook>
</file>

<file path=xl/calcChain.xml><?xml version="1.0" encoding="utf-8"?>
<calcChain xmlns="http://schemas.openxmlformats.org/spreadsheetml/2006/main">
  <c r="F40" i="2" l="1"/>
  <c r="F46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9" i="2"/>
  <c r="F41" i="2"/>
  <c r="F42" i="2"/>
  <c r="F43" i="2"/>
  <c r="F44" i="2"/>
  <c r="F45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6" i="2" l="1"/>
</calcChain>
</file>

<file path=xl/sharedStrings.xml><?xml version="1.0" encoding="utf-8"?>
<sst xmlns="http://schemas.openxmlformats.org/spreadsheetml/2006/main" count="159" uniqueCount="159">
  <si>
    <t>ФИО</t>
  </si>
  <si>
    <t>Л/С</t>
  </si>
  <si>
    <t>расход</t>
  </si>
  <si>
    <t>Шопин А.П.</t>
  </si>
  <si>
    <t>Штанько О. В.</t>
  </si>
  <si>
    <t>Мудрик Н. А.</t>
  </si>
  <si>
    <t>Сухов Д. Б.</t>
  </si>
  <si>
    <t>Тицкая Г. И.</t>
  </si>
  <si>
    <t>Зубкова Н.Н.</t>
  </si>
  <si>
    <t>Падалка Е. П.</t>
  </si>
  <si>
    <t>Зиновьев И. М.</t>
  </si>
  <si>
    <t>Шеремет Л. В.</t>
  </si>
  <si>
    <t>Алексеев Г С</t>
  </si>
  <si>
    <t>Каспийцева Л А</t>
  </si>
  <si>
    <t>Ширшов А Ю</t>
  </si>
  <si>
    <t>Пашкова В И</t>
  </si>
  <si>
    <t>Савченко Е В</t>
  </si>
  <si>
    <t>Бучнев В С</t>
  </si>
  <si>
    <t>Семенова Ю В</t>
  </si>
  <si>
    <t>Зубчевский А С</t>
  </si>
  <si>
    <t>Стефанов А Х</t>
  </si>
  <si>
    <t>Суббота Л Д</t>
  </si>
  <si>
    <t>Панкратов М И</t>
  </si>
  <si>
    <t>Калмыкова Г И</t>
  </si>
  <si>
    <t>Романенко Т М</t>
  </si>
  <si>
    <t>Сергиенко И Н</t>
  </si>
  <si>
    <t>Михайлова А Я</t>
  </si>
  <si>
    <t>Рожко Н И</t>
  </si>
  <si>
    <t>Садовников Е И</t>
  </si>
  <si>
    <t>Чорба А М</t>
  </si>
  <si>
    <t>Хлебникова НП</t>
  </si>
  <si>
    <t>Понамарева Т В</t>
  </si>
  <si>
    <t>Маринин Г М</t>
  </si>
  <si>
    <t>Долгополов В Г</t>
  </si>
  <si>
    <t>Растрыгин В</t>
  </si>
  <si>
    <t>Дуплихина Л Д</t>
  </si>
  <si>
    <t>Чепилова Н Г</t>
  </si>
  <si>
    <t>Саркисян С С</t>
  </si>
  <si>
    <t>Будилин В С</t>
  </si>
  <si>
    <t>Гриценко А В</t>
  </si>
  <si>
    <t>Вяликов М И</t>
  </si>
  <si>
    <t>Сергеева Е В</t>
  </si>
  <si>
    <t>Поясков С И</t>
  </si>
  <si>
    <t>Исаев В В</t>
  </si>
  <si>
    <t>Студенцова Т Ф</t>
  </si>
  <si>
    <t>Стромин В В</t>
  </si>
  <si>
    <t>Боркалова Е И</t>
  </si>
  <si>
    <t>Шабанов А Л</t>
  </si>
  <si>
    <t>Бурнацева Л Л</t>
  </si>
  <si>
    <t>Харченко Н П</t>
  </si>
  <si>
    <t>Альбердиев И З</t>
  </si>
  <si>
    <t>Гусев</t>
  </si>
  <si>
    <t>Крюкова О В</t>
  </si>
  <si>
    <t>Белах В К</t>
  </si>
  <si>
    <t>Волкова д.9 к 1</t>
  </si>
  <si>
    <t>№ кв</t>
  </si>
  <si>
    <t>Показания счетчиков</t>
  </si>
  <si>
    <t>Варгасина Л. В.</t>
  </si>
  <si>
    <t>Хорошилова Л, Н.</t>
  </si>
  <si>
    <t>Осипова С.В,</t>
  </si>
  <si>
    <t>Назыров С.М,</t>
  </si>
  <si>
    <t>Мастренко  С И</t>
  </si>
  <si>
    <t>Тарханова М А</t>
  </si>
  <si>
    <t>Выскребенцев П И</t>
  </si>
  <si>
    <t>Свистунова О. А.</t>
  </si>
  <si>
    <t>Винокурова Л. В.</t>
  </si>
  <si>
    <t>Серова Ю. Ю.</t>
  </si>
  <si>
    <t>Маршаузер Д. А.</t>
  </si>
  <si>
    <t>Силенок В. А.</t>
  </si>
  <si>
    <t>Коваль Л. А.</t>
  </si>
  <si>
    <t>Майборода Т.</t>
  </si>
  <si>
    <t>Азарова Л. А.</t>
  </si>
  <si>
    <t>Гомонов О. Н.</t>
  </si>
  <si>
    <t>Сердова Е.</t>
  </si>
  <si>
    <t>Чешенко Е. В.</t>
  </si>
  <si>
    <t>Момот М.</t>
  </si>
  <si>
    <t xml:space="preserve">Власов Д. </t>
  </si>
  <si>
    <t>Антонян Н. Г.</t>
  </si>
  <si>
    <t>Подорога А. В.</t>
  </si>
  <si>
    <t>133032/0184</t>
  </si>
  <si>
    <t>133114/0184</t>
  </si>
  <si>
    <t>133106/0184</t>
  </si>
  <si>
    <t>4ц</t>
  </si>
  <si>
    <t>3ц</t>
  </si>
  <si>
    <t>2ц</t>
  </si>
  <si>
    <t>133033/0184</t>
  </si>
  <si>
    <t>133034/0184</t>
  </si>
  <si>
    <t>133035/0184</t>
  </si>
  <si>
    <t>133036/0184</t>
  </si>
  <si>
    <t>133037/0184</t>
  </si>
  <si>
    <t>133038/0184</t>
  </si>
  <si>
    <t>133039/0184</t>
  </si>
  <si>
    <t>133040/0184</t>
  </si>
  <si>
    <t>133041/0184</t>
  </si>
  <si>
    <t>133042/0184</t>
  </si>
  <si>
    <t>133043/0184</t>
  </si>
  <si>
    <t>133044/0184</t>
  </si>
  <si>
    <t>133045/0184</t>
  </si>
  <si>
    <t>133046/0184</t>
  </si>
  <si>
    <t>133047/0184</t>
  </si>
  <si>
    <t>133048/0184</t>
  </si>
  <si>
    <t>133049/0184</t>
  </si>
  <si>
    <t>133050/0184</t>
  </si>
  <si>
    <t>133051/0184</t>
  </si>
  <si>
    <t>133052/0184</t>
  </si>
  <si>
    <t>133053/0184</t>
  </si>
  <si>
    <t>133054/0184</t>
  </si>
  <si>
    <t>133055/0184</t>
  </si>
  <si>
    <t>133056/0184</t>
  </si>
  <si>
    <t>133057/0184</t>
  </si>
  <si>
    <t>133058/0184</t>
  </si>
  <si>
    <t>133059/0184</t>
  </si>
  <si>
    <t>133060/0184</t>
  </si>
  <si>
    <t>133061/0184</t>
  </si>
  <si>
    <t>133062/0184</t>
  </si>
  <si>
    <t>133063/0184</t>
  </si>
  <si>
    <t>133064/0184</t>
  </si>
  <si>
    <t>133065/0184</t>
  </si>
  <si>
    <t>133066/0184</t>
  </si>
  <si>
    <t>133067/0184</t>
  </si>
  <si>
    <t>133068/0184</t>
  </si>
  <si>
    <t>133069/0184</t>
  </si>
  <si>
    <t>133070/0184</t>
  </si>
  <si>
    <t>133071/0184</t>
  </si>
  <si>
    <t>133072/0184</t>
  </si>
  <si>
    <t>133073/0184</t>
  </si>
  <si>
    <t>133074/0184</t>
  </si>
  <si>
    <t>133075/0184</t>
  </si>
  <si>
    <t>133076/0184</t>
  </si>
  <si>
    <t>133077/0184</t>
  </si>
  <si>
    <t>133078/0184</t>
  </si>
  <si>
    <t>133079/0184</t>
  </si>
  <si>
    <t>133080/0184</t>
  </si>
  <si>
    <t>133081/0184</t>
  </si>
  <si>
    <t>133082/0184</t>
  </si>
  <si>
    <t>133083/0184</t>
  </si>
  <si>
    <t>133084/0184</t>
  </si>
  <si>
    <t>133085/0184</t>
  </si>
  <si>
    <t>133086/0184</t>
  </si>
  <si>
    <t>133087/0184</t>
  </si>
  <si>
    <t>133088/0184</t>
  </si>
  <si>
    <t>133089/0184</t>
  </si>
  <si>
    <t>133090/0184</t>
  </si>
  <si>
    <t>133091/0184</t>
  </si>
  <si>
    <t>133092/0184</t>
  </si>
  <si>
    <t>133093/0184</t>
  </si>
  <si>
    <t>133094/0184</t>
  </si>
  <si>
    <t>133095/0184</t>
  </si>
  <si>
    <t>133096/0184</t>
  </si>
  <si>
    <t>133097/0184</t>
  </si>
  <si>
    <t>133098/0184</t>
  </si>
  <si>
    <t>133099/0184</t>
  </si>
  <si>
    <t>133100/0184</t>
  </si>
  <si>
    <t>133101/0184</t>
  </si>
  <si>
    <t>133102/0184</t>
  </si>
  <si>
    <t>Ведомость показаний электросчетчиков</t>
  </si>
  <si>
    <t>*Со слов абонента</t>
  </si>
  <si>
    <t>Октябрь</t>
  </si>
  <si>
    <t>Ноябрь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</si>
</sst>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9]General"/>
    <numFmt numFmtId="165" formatCode="#,##0.00&quot; &quot;[$руб.-419];[Red]&quot;-&quot;#,##0.00&quot; &quot;[$руб.-419]"/>
    <numFmt numFmtId="166" formatCode="[$-FC19]yyyy\,\ dd\ mmmm;@"/>
  </numFmts>
  <fonts count="11" x14ac:knownFonts="1">
    <font>
      <sz val="11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  <xf numFmtId="164" fontId="1" fillId="0" borderId="1"/>
    <xf numFmtId="43" fontId="4" fillId="0" borderId="0" applyFont="0" applyFill="0" applyBorder="0" applyAlignment="0" applyProtection="0"/>
    <xf numFmtId="0" fontId="5" fillId="0" borderId="0"/>
    <xf numFmtId="0" fontId="10" fillId="0" borderId="0"/>
  </cellStyleXfs>
  <cellXfs count="20">
    <xf numFmtId="0" fontId="0" fillId="0" borderId="0" xfId="0"/>
    <xf numFmtId="164" fontId="1" fillId="0" borderId="0" xfId="1"/>
    <xf numFmtId="2" fontId="0" fillId="0" borderId="0" xfId="0" applyNumberFormat="1"/>
    <xf numFmtId="164" fontId="8" fillId="0" borderId="2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/>
    </xf>
    <xf numFmtId="0" fontId="8" fillId="0" borderId="1" xfId="7" applyNumberFormat="1" applyFont="1" applyBorder="1" applyAlignment="1">
      <alignment horizontal="center" vertical="center"/>
    </xf>
    <xf numFmtId="164" fontId="8" fillId="0" borderId="1" xfId="1" quotePrefix="1" applyFont="1" applyBorder="1" applyAlignment="1">
      <alignment horizontal="center" vertical="center"/>
    </xf>
    <xf numFmtId="164" fontId="8" fillId="0" borderId="5" xfId="1" applyFont="1" applyBorder="1" applyAlignment="1">
      <alignment horizontal="center" vertical="center"/>
    </xf>
    <xf numFmtId="164" fontId="8" fillId="0" borderId="4" xfId="1" applyFont="1" applyBorder="1" applyAlignment="1">
      <alignment horizontal="center" vertical="center"/>
    </xf>
    <xf numFmtId="164" fontId="8" fillId="0" borderId="3" xfId="1" applyFont="1" applyBorder="1" applyAlignment="1">
      <alignment vertical="center"/>
    </xf>
    <xf numFmtId="164" fontId="8" fillId="0" borderId="0" xfId="1" applyFont="1"/>
    <xf numFmtId="0" fontId="9" fillId="0" borderId="0" xfId="9" applyFont="1"/>
    <xf numFmtId="0" fontId="6" fillId="0" borderId="3" xfId="0" applyFont="1" applyBorder="1" applyAlignment="1">
      <alignment horizontal="center" wrapText="1"/>
    </xf>
    <xf numFmtId="164" fontId="7" fillId="0" borderId="3" xfId="1" applyFont="1" applyBorder="1" applyAlignment="1">
      <alignment horizontal="center" vertical="center"/>
    </xf>
    <xf numFmtId="166" fontId="7" fillId="0" borderId="3" xfId="1" applyNumberFormat="1" applyFont="1" applyBorder="1" applyAlignment="1">
      <alignment horizontal="center" vertical="center"/>
    </xf>
    <xf numFmtId="164" fontId="8" fillId="0" borderId="2" xfId="1" applyFont="1" applyBorder="1" applyAlignment="1">
      <alignment horizontal="center" vertical="center" wrapText="1"/>
    </xf>
    <xf numFmtId="164" fontId="8" fillId="0" borderId="1" xfId="1" applyFont="1" applyBorder="1" applyAlignment="1">
      <alignment horizontal="center" vertical="center" wrapText="1"/>
    </xf>
    <xf numFmtId="164" fontId="8" fillId="0" borderId="2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/>
    </xf>
  </cellXfs>
  <cellStyles count="10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Result" xfId="4" xr:uid="{00000000-0005-0000-0000-000003000000}"/>
    <cellStyle name="Result2" xfId="5" xr:uid="{00000000-0005-0000-0000-000004000000}"/>
    <cellStyle name="Обычный" xfId="0" builtinId="0" customBuiltin="1"/>
    <cellStyle name="Обычный 2" xfId="8" xr:uid="{26412F26-CFEC-48FA-A2FF-A96D8A00F6AC}"/>
    <cellStyle name="Обычный 3" xfId="9" xr:uid="{63AAEF5A-1595-40A8-8AE5-C2C937B3D270}"/>
    <cellStyle name="Стиль 1" xfId="6" xr:uid="{00000000-0005-0000-0000-000006000000}"/>
    <cellStyle name="Финансовый" xfId="7" builtinId="3"/>
  </cellStyles>
  <dxfs count="3">
    <dxf>
      <font>
        <color theme="1"/>
      </font>
      <fill>
        <patternFill>
          <bgColor rgb="FFFF8F8F"/>
        </patternFill>
      </fill>
    </dxf>
    <dxf>
      <font>
        <color theme="1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8F8F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tabSelected="1" zoomScaleNormal="100" workbookViewId="0">
      <selection activeCell="E7" sqref="E7"/>
    </sheetView>
  </sheetViews>
  <sheetFormatPr defaultRowHeight="14.25" x14ac:dyDescent="0.2"/>
  <cols>
    <col min="1" max="1" width="4.75" customWidth="1"/>
    <col min="2" max="2" width="20.375" bestFit="1" customWidth="1"/>
    <col min="3" max="3" width="13" bestFit="1" customWidth="1"/>
    <col min="4" max="4" width="10.875" customWidth="1"/>
    <col min="5" max="5" width="11" customWidth="1"/>
    <col min="6" max="6" width="9.125" customWidth="1"/>
    <col min="7" max="1023" width="8.125" customWidth="1"/>
  </cols>
  <sheetData>
    <row r="1" spans="1:6" ht="18.75" x14ac:dyDescent="0.3">
      <c r="A1" s="13" t="s">
        <v>155</v>
      </c>
      <c r="B1" s="13"/>
      <c r="C1" s="13"/>
      <c r="D1" s="13"/>
      <c r="E1" s="13"/>
      <c r="F1" s="13"/>
    </row>
    <row r="2" spans="1:6" s="1" customFormat="1" ht="18.75" x14ac:dyDescent="0.25">
      <c r="A2" s="14" t="s">
        <v>54</v>
      </c>
      <c r="B2" s="14"/>
      <c r="C2" s="14"/>
      <c r="D2" s="15">
        <v>45982</v>
      </c>
      <c r="E2" s="15"/>
      <c r="F2" s="15"/>
    </row>
    <row r="3" spans="1:6" s="1" customFormat="1" ht="18.75" x14ac:dyDescent="0.25">
      <c r="A3" s="16" t="s">
        <v>55</v>
      </c>
      <c r="B3" s="18" t="s">
        <v>0</v>
      </c>
      <c r="C3" s="18" t="s">
        <v>1</v>
      </c>
      <c r="D3" s="18" t="s">
        <v>56</v>
      </c>
      <c r="E3" s="18"/>
      <c r="F3" s="18"/>
    </row>
    <row r="4" spans="1:6" s="1" customFormat="1" ht="18.75" x14ac:dyDescent="0.25">
      <c r="A4" s="17"/>
      <c r="B4" s="19"/>
      <c r="C4" s="19"/>
      <c r="D4" s="4" t="s">
        <v>157</v>
      </c>
      <c r="E4" s="4" t="s">
        <v>158</v>
      </c>
      <c r="F4" s="4" t="s">
        <v>2</v>
      </c>
    </row>
    <row r="5" spans="1:6" s="1" customFormat="1" ht="18.75" x14ac:dyDescent="0.25">
      <c r="A5" s="4">
        <v>1</v>
      </c>
      <c r="B5" s="4" t="s">
        <v>77</v>
      </c>
      <c r="C5" s="4" t="s">
        <v>79</v>
      </c>
      <c r="D5" s="4">
        <v>13060</v>
      </c>
      <c r="E5" s="4"/>
      <c r="F5" s="4">
        <f t="shared" ref="F5:F68" si="0">E5-D5</f>
        <v>-13060</v>
      </c>
    </row>
    <row r="6" spans="1:6" s="1" customFormat="1" ht="18.75" x14ac:dyDescent="0.25">
      <c r="A6" s="4">
        <v>2</v>
      </c>
      <c r="B6" s="4" t="s">
        <v>57</v>
      </c>
      <c r="C6" s="4" t="s">
        <v>85</v>
      </c>
      <c r="D6" s="4">
        <v>30240</v>
      </c>
      <c r="E6" s="4"/>
      <c r="F6" s="4">
        <f t="shared" si="0"/>
        <v>-30240</v>
      </c>
    </row>
    <row r="7" spans="1:6" s="1" customFormat="1" ht="18.75" x14ac:dyDescent="0.25">
      <c r="A7" s="4">
        <v>3</v>
      </c>
      <c r="B7" s="4" t="s">
        <v>58</v>
      </c>
      <c r="C7" s="4" t="s">
        <v>86</v>
      </c>
      <c r="D7" s="4">
        <v>22205</v>
      </c>
      <c r="E7" s="4"/>
      <c r="F7" s="4">
        <f t="shared" si="0"/>
        <v>-22205</v>
      </c>
    </row>
    <row r="8" spans="1:6" s="1" customFormat="1" ht="18.75" x14ac:dyDescent="0.25">
      <c r="A8" s="4">
        <v>4</v>
      </c>
      <c r="B8" s="4" t="s">
        <v>3</v>
      </c>
      <c r="C8" s="4" t="s">
        <v>87</v>
      </c>
      <c r="D8" s="4">
        <v>760</v>
      </c>
      <c r="E8" s="4"/>
      <c r="F8" s="4">
        <f t="shared" si="0"/>
        <v>-760</v>
      </c>
    </row>
    <row r="9" spans="1:6" s="1" customFormat="1" ht="18.75" x14ac:dyDescent="0.25">
      <c r="A9" s="4">
        <v>5</v>
      </c>
      <c r="B9" s="4" t="s">
        <v>59</v>
      </c>
      <c r="C9" s="4" t="s">
        <v>88</v>
      </c>
      <c r="D9" s="4">
        <v>10750</v>
      </c>
      <c r="E9" s="4"/>
      <c r="F9" s="4">
        <f t="shared" si="0"/>
        <v>-10750</v>
      </c>
    </row>
    <row r="10" spans="1:6" s="1" customFormat="1" ht="18.75" x14ac:dyDescent="0.25">
      <c r="A10" s="4">
        <v>6</v>
      </c>
      <c r="B10" s="4" t="s">
        <v>4</v>
      </c>
      <c r="C10" s="4" t="s">
        <v>89</v>
      </c>
      <c r="D10" s="4">
        <v>14510</v>
      </c>
      <c r="E10" s="4"/>
      <c r="F10" s="4">
        <f t="shared" si="0"/>
        <v>-14510</v>
      </c>
    </row>
    <row r="11" spans="1:6" s="1" customFormat="1" ht="18.75" x14ac:dyDescent="0.25">
      <c r="A11" s="4">
        <v>7</v>
      </c>
      <c r="B11" s="4" t="s">
        <v>5</v>
      </c>
      <c r="C11" s="4" t="s">
        <v>90</v>
      </c>
      <c r="D11" s="4">
        <v>15470</v>
      </c>
      <c r="E11" s="4"/>
      <c r="F11" s="4">
        <f t="shared" si="0"/>
        <v>-15470</v>
      </c>
    </row>
    <row r="12" spans="1:6" s="1" customFormat="1" ht="18.75" x14ac:dyDescent="0.25">
      <c r="A12" s="4">
        <v>8</v>
      </c>
      <c r="B12" s="4" t="s">
        <v>6</v>
      </c>
      <c r="C12" s="4" t="s">
        <v>91</v>
      </c>
      <c r="D12" s="4">
        <v>2390</v>
      </c>
      <c r="E12" s="4"/>
      <c r="F12" s="4">
        <f t="shared" si="0"/>
        <v>-2390</v>
      </c>
    </row>
    <row r="13" spans="1:6" s="1" customFormat="1" ht="18.75" x14ac:dyDescent="0.25">
      <c r="A13" s="4">
        <v>9</v>
      </c>
      <c r="B13" s="4" t="s">
        <v>7</v>
      </c>
      <c r="C13" s="4" t="s">
        <v>92</v>
      </c>
      <c r="D13" s="4">
        <v>21130</v>
      </c>
      <c r="E13" s="4"/>
      <c r="F13" s="4">
        <f t="shared" si="0"/>
        <v>-21130</v>
      </c>
    </row>
    <row r="14" spans="1:6" s="1" customFormat="1" ht="18.75" x14ac:dyDescent="0.25">
      <c r="A14" s="4">
        <v>10</v>
      </c>
      <c r="B14" s="4" t="s">
        <v>8</v>
      </c>
      <c r="C14" s="4" t="s">
        <v>93</v>
      </c>
      <c r="D14" s="4">
        <v>16480</v>
      </c>
      <c r="E14" s="4"/>
      <c r="F14" s="4">
        <f t="shared" si="0"/>
        <v>-16480</v>
      </c>
    </row>
    <row r="15" spans="1:6" s="1" customFormat="1" ht="18.75" x14ac:dyDescent="0.3">
      <c r="A15" s="4">
        <v>11</v>
      </c>
      <c r="B15" s="5" t="s">
        <v>64</v>
      </c>
      <c r="C15" s="4" t="s">
        <v>94</v>
      </c>
      <c r="D15" s="4">
        <v>26600</v>
      </c>
      <c r="E15" s="4"/>
      <c r="F15" s="4">
        <f t="shared" si="0"/>
        <v>-26600</v>
      </c>
    </row>
    <row r="16" spans="1:6" s="1" customFormat="1" ht="18.75" x14ac:dyDescent="0.25">
      <c r="A16" s="4">
        <v>12</v>
      </c>
      <c r="B16" s="4" t="s">
        <v>9</v>
      </c>
      <c r="C16" s="4" t="s">
        <v>95</v>
      </c>
      <c r="D16" s="4">
        <v>32900</v>
      </c>
      <c r="E16" s="4"/>
      <c r="F16" s="4">
        <f t="shared" si="0"/>
        <v>-32900</v>
      </c>
    </row>
    <row r="17" spans="1:6" s="1" customFormat="1" ht="18.75" x14ac:dyDescent="0.3">
      <c r="A17" s="4">
        <v>13</v>
      </c>
      <c r="B17" s="5" t="s">
        <v>65</v>
      </c>
      <c r="C17" s="4" t="s">
        <v>96</v>
      </c>
      <c r="D17" s="4">
        <v>19835</v>
      </c>
      <c r="E17" s="4"/>
      <c r="F17" s="4">
        <f t="shared" si="0"/>
        <v>-19835</v>
      </c>
    </row>
    <row r="18" spans="1:6" s="1" customFormat="1" ht="18.75" x14ac:dyDescent="0.25">
      <c r="A18" s="4">
        <v>14</v>
      </c>
      <c r="B18" s="4" t="s">
        <v>60</v>
      </c>
      <c r="C18" s="4" t="s">
        <v>97</v>
      </c>
      <c r="D18" s="4">
        <v>12740</v>
      </c>
      <c r="E18" s="4"/>
      <c r="F18" s="4">
        <f t="shared" si="0"/>
        <v>-12740</v>
      </c>
    </row>
    <row r="19" spans="1:6" s="1" customFormat="1" ht="18.75" x14ac:dyDescent="0.25">
      <c r="A19" s="4">
        <v>15</v>
      </c>
      <c r="B19" s="4" t="s">
        <v>10</v>
      </c>
      <c r="C19" s="4" t="s">
        <v>98</v>
      </c>
      <c r="D19" s="4">
        <v>1930</v>
      </c>
      <c r="E19" s="4"/>
      <c r="F19" s="4">
        <f t="shared" si="0"/>
        <v>-1930</v>
      </c>
    </row>
    <row r="20" spans="1:6" s="1" customFormat="1" ht="18.75" x14ac:dyDescent="0.25">
      <c r="A20" s="4">
        <v>16</v>
      </c>
      <c r="B20" s="4" t="s">
        <v>11</v>
      </c>
      <c r="C20" s="4" t="s">
        <v>99</v>
      </c>
      <c r="D20" s="4">
        <v>21135</v>
      </c>
      <c r="E20" s="4"/>
      <c r="F20" s="4">
        <f t="shared" si="0"/>
        <v>-21135</v>
      </c>
    </row>
    <row r="21" spans="1:6" s="1" customFormat="1" ht="18.75" x14ac:dyDescent="0.25">
      <c r="A21" s="4">
        <v>17</v>
      </c>
      <c r="B21" s="4" t="s">
        <v>78</v>
      </c>
      <c r="C21" s="4" t="s">
        <v>100</v>
      </c>
      <c r="D21" s="6">
        <v>1755</v>
      </c>
      <c r="E21" s="6"/>
      <c r="F21" s="4">
        <f t="shared" si="0"/>
        <v>-1755</v>
      </c>
    </row>
    <row r="22" spans="1:6" s="1" customFormat="1" ht="18.75" x14ac:dyDescent="0.25">
      <c r="A22" s="4">
        <v>18</v>
      </c>
      <c r="B22" s="4" t="s">
        <v>61</v>
      </c>
      <c r="C22" s="4" t="s">
        <v>101</v>
      </c>
      <c r="D22" s="4">
        <v>23280</v>
      </c>
      <c r="E22" s="4"/>
      <c r="F22" s="4">
        <f t="shared" si="0"/>
        <v>-23280</v>
      </c>
    </row>
    <row r="23" spans="1:6" s="1" customFormat="1" ht="18.75" x14ac:dyDescent="0.25">
      <c r="A23" s="4">
        <v>19</v>
      </c>
      <c r="B23" s="4" t="s">
        <v>12</v>
      </c>
      <c r="C23" s="4" t="s">
        <v>102</v>
      </c>
      <c r="D23" s="4">
        <v>1300</v>
      </c>
      <c r="E23" s="4"/>
      <c r="F23" s="4">
        <f t="shared" si="0"/>
        <v>-1300</v>
      </c>
    </row>
    <row r="24" spans="1:6" s="1" customFormat="1" ht="18.75" x14ac:dyDescent="0.25">
      <c r="A24" s="4">
        <v>20</v>
      </c>
      <c r="B24" s="4" t="s">
        <v>13</v>
      </c>
      <c r="C24" s="4" t="s">
        <v>103</v>
      </c>
      <c r="D24" s="4">
        <v>15330</v>
      </c>
      <c r="E24" s="4"/>
      <c r="F24" s="4">
        <f t="shared" si="0"/>
        <v>-15330</v>
      </c>
    </row>
    <row r="25" spans="1:6" s="1" customFormat="1" ht="18.75" x14ac:dyDescent="0.25">
      <c r="A25" s="4">
        <v>21</v>
      </c>
      <c r="B25" s="4" t="s">
        <v>62</v>
      </c>
      <c r="C25" s="4" t="s">
        <v>104</v>
      </c>
      <c r="D25" s="4">
        <v>19305</v>
      </c>
      <c r="E25" s="4"/>
      <c r="F25" s="4">
        <f t="shared" si="0"/>
        <v>-19305</v>
      </c>
    </row>
    <row r="26" spans="1:6" s="1" customFormat="1" ht="18.75" x14ac:dyDescent="0.25">
      <c r="A26" s="4">
        <v>22</v>
      </c>
      <c r="B26" s="4" t="s">
        <v>14</v>
      </c>
      <c r="C26" s="4" t="s">
        <v>105</v>
      </c>
      <c r="D26" s="4">
        <v>45515</v>
      </c>
      <c r="E26" s="4"/>
      <c r="F26" s="4">
        <f t="shared" si="0"/>
        <v>-45515</v>
      </c>
    </row>
    <row r="27" spans="1:6" s="1" customFormat="1" ht="18.75" x14ac:dyDescent="0.25">
      <c r="A27" s="4">
        <v>23</v>
      </c>
      <c r="B27" s="4" t="s">
        <v>15</v>
      </c>
      <c r="C27" s="4" t="s">
        <v>106</v>
      </c>
      <c r="D27" s="4">
        <v>38995</v>
      </c>
      <c r="E27" s="4"/>
      <c r="F27" s="4">
        <f t="shared" si="0"/>
        <v>-38995</v>
      </c>
    </row>
    <row r="28" spans="1:6" s="1" customFormat="1" ht="18.75" x14ac:dyDescent="0.25">
      <c r="A28" s="4">
        <v>24</v>
      </c>
      <c r="B28" s="4" t="s">
        <v>66</v>
      </c>
      <c r="C28" s="4" t="s">
        <v>107</v>
      </c>
      <c r="D28" s="4">
        <v>17855</v>
      </c>
      <c r="E28" s="4"/>
      <c r="F28" s="4">
        <f t="shared" si="0"/>
        <v>-17855</v>
      </c>
    </row>
    <row r="29" spans="1:6" s="1" customFormat="1" ht="18.75" x14ac:dyDescent="0.25">
      <c r="A29" s="4">
        <v>25</v>
      </c>
      <c r="B29" s="4" t="s">
        <v>16</v>
      </c>
      <c r="C29" s="4" t="s">
        <v>108</v>
      </c>
      <c r="D29" s="4">
        <v>15910</v>
      </c>
      <c r="E29" s="4"/>
      <c r="F29" s="4">
        <f t="shared" si="0"/>
        <v>-15910</v>
      </c>
    </row>
    <row r="30" spans="1:6" s="1" customFormat="1" ht="18.75" x14ac:dyDescent="0.25">
      <c r="A30" s="4">
        <v>26</v>
      </c>
      <c r="B30" s="4" t="s">
        <v>17</v>
      </c>
      <c r="C30" s="4" t="s">
        <v>109</v>
      </c>
      <c r="D30" s="4">
        <v>33800</v>
      </c>
      <c r="E30" s="4"/>
      <c r="F30" s="4">
        <f t="shared" si="0"/>
        <v>-33800</v>
      </c>
    </row>
    <row r="31" spans="1:6" s="1" customFormat="1" ht="18.75" x14ac:dyDescent="0.25">
      <c r="A31" s="4">
        <v>27</v>
      </c>
      <c r="B31" s="4" t="s">
        <v>18</v>
      </c>
      <c r="C31" s="4" t="s">
        <v>110</v>
      </c>
      <c r="D31" s="4">
        <v>16400</v>
      </c>
      <c r="E31" s="4"/>
      <c r="F31" s="4">
        <f t="shared" si="0"/>
        <v>-16400</v>
      </c>
    </row>
    <row r="32" spans="1:6" s="1" customFormat="1" ht="18.75" x14ac:dyDescent="0.25">
      <c r="A32" s="4">
        <v>28</v>
      </c>
      <c r="B32" s="4" t="s">
        <v>19</v>
      </c>
      <c r="C32" s="4" t="s">
        <v>111</v>
      </c>
      <c r="D32" s="4">
        <v>26020</v>
      </c>
      <c r="E32" s="4"/>
      <c r="F32" s="4">
        <f t="shared" si="0"/>
        <v>-26020</v>
      </c>
    </row>
    <row r="33" spans="1:6" s="1" customFormat="1" ht="18.75" x14ac:dyDescent="0.25">
      <c r="A33" s="4">
        <v>29</v>
      </c>
      <c r="B33" s="4" t="s">
        <v>20</v>
      </c>
      <c r="C33" s="4" t="s">
        <v>112</v>
      </c>
      <c r="D33" s="4">
        <v>14930</v>
      </c>
      <c r="E33" s="4"/>
      <c r="F33" s="4">
        <f t="shared" si="0"/>
        <v>-14930</v>
      </c>
    </row>
    <row r="34" spans="1:6" s="1" customFormat="1" ht="18.75" x14ac:dyDescent="0.3">
      <c r="A34" s="4">
        <v>30</v>
      </c>
      <c r="B34" s="5" t="s">
        <v>67</v>
      </c>
      <c r="C34" s="4" t="s">
        <v>113</v>
      </c>
      <c r="D34" s="4">
        <v>12465</v>
      </c>
      <c r="E34" s="4"/>
      <c r="F34" s="4">
        <f t="shared" si="0"/>
        <v>-12465</v>
      </c>
    </row>
    <row r="35" spans="1:6" s="1" customFormat="1" ht="18.75" x14ac:dyDescent="0.25">
      <c r="A35" s="4">
        <v>31</v>
      </c>
      <c r="B35" s="4" t="s">
        <v>21</v>
      </c>
      <c r="C35" s="4" t="s">
        <v>114</v>
      </c>
      <c r="D35" s="4">
        <v>22040</v>
      </c>
      <c r="E35" s="4"/>
      <c r="F35" s="4">
        <f t="shared" si="0"/>
        <v>-22040</v>
      </c>
    </row>
    <row r="36" spans="1:6" s="1" customFormat="1" ht="18.75" x14ac:dyDescent="0.25">
      <c r="A36" s="4">
        <v>32</v>
      </c>
      <c r="B36" s="4" t="s">
        <v>22</v>
      </c>
      <c r="C36" s="4" t="s">
        <v>115</v>
      </c>
      <c r="D36" s="4">
        <v>18160</v>
      </c>
      <c r="E36" s="4"/>
      <c r="F36" s="4">
        <f t="shared" si="0"/>
        <v>-18160</v>
      </c>
    </row>
    <row r="37" spans="1:6" s="1" customFormat="1" ht="18.75" x14ac:dyDescent="0.25">
      <c r="A37" s="4">
        <v>33</v>
      </c>
      <c r="B37" s="4" t="s">
        <v>23</v>
      </c>
      <c r="C37" s="4" t="s">
        <v>116</v>
      </c>
      <c r="D37" s="4">
        <v>30880</v>
      </c>
      <c r="E37" s="4"/>
      <c r="F37" s="4">
        <f t="shared" si="0"/>
        <v>-30880</v>
      </c>
    </row>
    <row r="38" spans="1:6" s="1" customFormat="1" ht="18.75" x14ac:dyDescent="0.25">
      <c r="A38" s="4">
        <v>34</v>
      </c>
      <c r="B38" s="4" t="s">
        <v>24</v>
      </c>
      <c r="C38" s="4" t="s">
        <v>117</v>
      </c>
      <c r="D38" s="7">
        <v>0</v>
      </c>
      <c r="E38" s="7"/>
      <c r="F38" s="4"/>
    </row>
    <row r="39" spans="1:6" s="1" customFormat="1" ht="18.75" x14ac:dyDescent="0.25">
      <c r="A39" s="4">
        <v>35</v>
      </c>
      <c r="B39" s="4" t="s">
        <v>68</v>
      </c>
      <c r="C39" s="4" t="s">
        <v>118</v>
      </c>
      <c r="D39" s="4">
        <v>15065</v>
      </c>
      <c r="E39" s="4"/>
      <c r="F39" s="4">
        <f t="shared" si="0"/>
        <v>-15065</v>
      </c>
    </row>
    <row r="40" spans="1:6" s="1" customFormat="1" ht="18.75" x14ac:dyDescent="0.25">
      <c r="A40" s="4">
        <v>36</v>
      </c>
      <c r="B40" s="4" t="s">
        <v>25</v>
      </c>
      <c r="C40" s="4" t="s">
        <v>119</v>
      </c>
      <c r="D40" s="4">
        <v>300</v>
      </c>
      <c r="E40" s="4"/>
      <c r="F40" s="4">
        <f t="shared" si="0"/>
        <v>-300</v>
      </c>
    </row>
    <row r="41" spans="1:6" s="1" customFormat="1" ht="18.75" x14ac:dyDescent="0.25">
      <c r="A41" s="4">
        <v>37</v>
      </c>
      <c r="B41" s="4" t="s">
        <v>26</v>
      </c>
      <c r="C41" s="4" t="s">
        <v>120</v>
      </c>
      <c r="D41" s="4">
        <v>11405</v>
      </c>
      <c r="E41" s="4"/>
      <c r="F41" s="4">
        <f t="shared" ref="F41:F46" si="1">E41-D41</f>
        <v>-11405</v>
      </c>
    </row>
    <row r="42" spans="1:6" s="1" customFormat="1" ht="18.75" x14ac:dyDescent="0.25">
      <c r="A42" s="4">
        <v>38</v>
      </c>
      <c r="B42" s="4" t="s">
        <v>27</v>
      </c>
      <c r="C42" s="4" t="s">
        <v>121</v>
      </c>
      <c r="D42" s="4">
        <v>886</v>
      </c>
      <c r="E42" s="4"/>
      <c r="F42" s="4">
        <f t="shared" si="1"/>
        <v>-886</v>
      </c>
    </row>
    <row r="43" spans="1:6" s="1" customFormat="1" ht="18.75" x14ac:dyDescent="0.25">
      <c r="A43" s="4">
        <v>39</v>
      </c>
      <c r="B43" s="4" t="s">
        <v>28</v>
      </c>
      <c r="C43" s="4" t="s">
        <v>122</v>
      </c>
      <c r="D43" s="4">
        <v>14705</v>
      </c>
      <c r="E43" s="4"/>
      <c r="F43" s="4">
        <f t="shared" si="1"/>
        <v>-14705</v>
      </c>
    </row>
    <row r="44" spans="1:6" s="1" customFormat="1" ht="18.75" x14ac:dyDescent="0.25">
      <c r="A44" s="4">
        <v>40</v>
      </c>
      <c r="B44" s="4" t="s">
        <v>29</v>
      </c>
      <c r="C44" s="4" t="s">
        <v>123</v>
      </c>
      <c r="D44" s="4">
        <v>5943</v>
      </c>
      <c r="E44" s="4"/>
      <c r="F44" s="4">
        <f t="shared" si="1"/>
        <v>-5943</v>
      </c>
    </row>
    <row r="45" spans="1:6" s="1" customFormat="1" ht="18.75" x14ac:dyDescent="0.25">
      <c r="A45" s="4">
        <v>41</v>
      </c>
      <c r="B45" s="4" t="s">
        <v>30</v>
      </c>
      <c r="C45" s="4" t="s">
        <v>124</v>
      </c>
      <c r="D45" s="4">
        <v>13420</v>
      </c>
      <c r="E45" s="4"/>
      <c r="F45" s="4">
        <f t="shared" si="1"/>
        <v>-13420</v>
      </c>
    </row>
    <row r="46" spans="1:6" s="1" customFormat="1" ht="18.75" x14ac:dyDescent="0.25">
      <c r="A46" s="4">
        <v>42</v>
      </c>
      <c r="B46" s="4" t="s">
        <v>69</v>
      </c>
      <c r="C46" s="4" t="s">
        <v>125</v>
      </c>
      <c r="D46" s="4">
        <v>19860</v>
      </c>
      <c r="E46" s="4"/>
      <c r="F46" s="4">
        <f t="shared" si="1"/>
        <v>-19860</v>
      </c>
    </row>
    <row r="47" spans="1:6" s="1" customFormat="1" ht="18.75" x14ac:dyDescent="0.25">
      <c r="A47" s="4">
        <v>43</v>
      </c>
      <c r="B47" s="4" t="s">
        <v>70</v>
      </c>
      <c r="C47" s="4" t="s">
        <v>126</v>
      </c>
      <c r="D47" s="4">
        <v>23090</v>
      </c>
      <c r="E47" s="4"/>
      <c r="F47" s="4">
        <f t="shared" si="0"/>
        <v>-23090</v>
      </c>
    </row>
    <row r="48" spans="1:6" s="1" customFormat="1" ht="18.75" x14ac:dyDescent="0.25">
      <c r="A48" s="4">
        <v>44</v>
      </c>
      <c r="B48" s="4" t="s">
        <v>31</v>
      </c>
      <c r="C48" s="4" t="s">
        <v>127</v>
      </c>
      <c r="D48" s="4">
        <v>32075</v>
      </c>
      <c r="E48" s="4"/>
      <c r="F48" s="4">
        <f t="shared" si="0"/>
        <v>-32075</v>
      </c>
    </row>
    <row r="49" spans="1:6" s="1" customFormat="1" ht="18.75" x14ac:dyDescent="0.25">
      <c r="A49" s="4">
        <v>45</v>
      </c>
      <c r="B49" s="4" t="s">
        <v>32</v>
      </c>
      <c r="C49" s="4" t="s">
        <v>128</v>
      </c>
      <c r="D49" s="4">
        <v>11055</v>
      </c>
      <c r="E49" s="4"/>
      <c r="F49" s="4">
        <f t="shared" si="0"/>
        <v>-11055</v>
      </c>
    </row>
    <row r="50" spans="1:6" s="1" customFormat="1" ht="18.75" x14ac:dyDescent="0.25">
      <c r="A50" s="4">
        <v>46</v>
      </c>
      <c r="B50" s="4" t="s">
        <v>33</v>
      </c>
      <c r="C50" s="4" t="s">
        <v>129</v>
      </c>
      <c r="D50" s="4">
        <v>14800</v>
      </c>
      <c r="E50" s="4"/>
      <c r="F50" s="4">
        <f t="shared" si="0"/>
        <v>-14800</v>
      </c>
    </row>
    <row r="51" spans="1:6" s="1" customFormat="1" ht="18.75" x14ac:dyDescent="0.25">
      <c r="A51" s="4">
        <v>47</v>
      </c>
      <c r="B51" s="4" t="s">
        <v>34</v>
      </c>
      <c r="C51" s="4" t="s">
        <v>130</v>
      </c>
      <c r="D51" s="4">
        <v>11150</v>
      </c>
      <c r="E51" s="4"/>
      <c r="F51" s="4">
        <f t="shared" si="0"/>
        <v>-11150</v>
      </c>
    </row>
    <row r="52" spans="1:6" s="1" customFormat="1" ht="18.75" x14ac:dyDescent="0.25">
      <c r="A52" s="4">
        <v>48</v>
      </c>
      <c r="B52" s="4" t="s">
        <v>35</v>
      </c>
      <c r="C52" s="4" t="s">
        <v>131</v>
      </c>
      <c r="D52" s="4">
        <v>24415</v>
      </c>
      <c r="E52" s="4"/>
      <c r="F52" s="4">
        <f t="shared" si="0"/>
        <v>-24415</v>
      </c>
    </row>
    <row r="53" spans="1:6" s="1" customFormat="1" ht="18.75" x14ac:dyDescent="0.25">
      <c r="A53" s="4">
        <v>49</v>
      </c>
      <c r="B53" s="4" t="s">
        <v>36</v>
      </c>
      <c r="C53" s="4" t="s">
        <v>132</v>
      </c>
      <c r="D53" s="4">
        <v>22460</v>
      </c>
      <c r="E53" s="4"/>
      <c r="F53" s="4">
        <f t="shared" si="0"/>
        <v>-22460</v>
      </c>
    </row>
    <row r="54" spans="1:6" s="1" customFormat="1" ht="18.75" x14ac:dyDescent="0.25">
      <c r="A54" s="4">
        <v>50</v>
      </c>
      <c r="B54" s="4" t="s">
        <v>37</v>
      </c>
      <c r="C54" s="4" t="s">
        <v>133</v>
      </c>
      <c r="D54" s="4">
        <v>13885</v>
      </c>
      <c r="E54" s="4"/>
      <c r="F54" s="4">
        <f t="shared" si="0"/>
        <v>-13885</v>
      </c>
    </row>
    <row r="55" spans="1:6" s="1" customFormat="1" ht="18.75" x14ac:dyDescent="0.25">
      <c r="A55" s="4">
        <v>51</v>
      </c>
      <c r="B55" s="4" t="s">
        <v>38</v>
      </c>
      <c r="C55" s="4" t="s">
        <v>134</v>
      </c>
      <c r="D55" s="4">
        <v>27935</v>
      </c>
      <c r="E55" s="4"/>
      <c r="F55" s="4">
        <f t="shared" si="0"/>
        <v>-27935</v>
      </c>
    </row>
    <row r="56" spans="1:6" s="1" customFormat="1" ht="18.75" x14ac:dyDescent="0.25">
      <c r="A56" s="4">
        <v>52</v>
      </c>
      <c r="B56" s="4" t="s">
        <v>39</v>
      </c>
      <c r="C56" s="4" t="s">
        <v>135</v>
      </c>
      <c r="D56" s="4">
        <v>25575</v>
      </c>
      <c r="E56" s="4"/>
      <c r="F56" s="4">
        <f t="shared" si="0"/>
        <v>-25575</v>
      </c>
    </row>
    <row r="57" spans="1:6" s="1" customFormat="1" ht="18.75" x14ac:dyDescent="0.25">
      <c r="A57" s="4">
        <v>53</v>
      </c>
      <c r="B57" s="4" t="s">
        <v>71</v>
      </c>
      <c r="C57" s="4" t="s">
        <v>136</v>
      </c>
      <c r="D57" s="4">
        <v>13015</v>
      </c>
      <c r="E57" s="4"/>
      <c r="F57" s="4">
        <f t="shared" si="0"/>
        <v>-13015</v>
      </c>
    </row>
    <row r="58" spans="1:6" s="1" customFormat="1" ht="18.75" x14ac:dyDescent="0.3">
      <c r="A58" s="4">
        <v>54</v>
      </c>
      <c r="B58" s="5" t="s">
        <v>72</v>
      </c>
      <c r="C58" s="4" t="s">
        <v>137</v>
      </c>
      <c r="D58" s="4">
        <v>3690</v>
      </c>
      <c r="E58" s="4"/>
      <c r="F58" s="4">
        <f t="shared" si="0"/>
        <v>-3690</v>
      </c>
    </row>
    <row r="59" spans="1:6" s="1" customFormat="1" ht="18.75" x14ac:dyDescent="0.25">
      <c r="A59" s="4">
        <v>55</v>
      </c>
      <c r="B59" s="4" t="s">
        <v>73</v>
      </c>
      <c r="C59" s="4" t="s">
        <v>138</v>
      </c>
      <c r="D59" s="4">
        <v>30815</v>
      </c>
      <c r="E59" s="4"/>
      <c r="F59" s="4">
        <f t="shared" si="0"/>
        <v>-30815</v>
      </c>
    </row>
    <row r="60" spans="1:6" s="1" customFormat="1" ht="18.75" x14ac:dyDescent="0.25">
      <c r="A60" s="4">
        <v>56</v>
      </c>
      <c r="B60" s="4" t="s">
        <v>40</v>
      </c>
      <c r="C60" s="4" t="s">
        <v>139</v>
      </c>
      <c r="D60" s="4">
        <v>125</v>
      </c>
      <c r="E60" s="4"/>
      <c r="F60" s="4">
        <f t="shared" si="0"/>
        <v>-125</v>
      </c>
    </row>
    <row r="61" spans="1:6" s="1" customFormat="1" ht="18.75" x14ac:dyDescent="0.25">
      <c r="A61" s="4">
        <v>57</v>
      </c>
      <c r="B61" s="4" t="s">
        <v>41</v>
      </c>
      <c r="C61" s="4" t="s">
        <v>140</v>
      </c>
      <c r="D61" s="4">
        <v>39520</v>
      </c>
      <c r="E61" s="4"/>
      <c r="F61" s="4">
        <f t="shared" si="0"/>
        <v>-39520</v>
      </c>
    </row>
    <row r="62" spans="1:6" s="1" customFormat="1" ht="18.75" x14ac:dyDescent="0.3">
      <c r="A62" s="4">
        <v>58</v>
      </c>
      <c r="B62" s="5" t="s">
        <v>74</v>
      </c>
      <c r="C62" s="4" t="s">
        <v>141</v>
      </c>
      <c r="D62" s="4">
        <v>4700</v>
      </c>
      <c r="E62" s="4"/>
      <c r="F62" s="4">
        <f t="shared" si="0"/>
        <v>-4700</v>
      </c>
    </row>
    <row r="63" spans="1:6" s="1" customFormat="1" ht="18.75" x14ac:dyDescent="0.25">
      <c r="A63" s="4">
        <v>59</v>
      </c>
      <c r="B63" s="4" t="s">
        <v>42</v>
      </c>
      <c r="C63" s="4" t="s">
        <v>142</v>
      </c>
      <c r="D63" s="4">
        <v>12505</v>
      </c>
      <c r="E63" s="4"/>
      <c r="F63" s="4">
        <f t="shared" si="0"/>
        <v>-12505</v>
      </c>
    </row>
    <row r="64" spans="1:6" s="1" customFormat="1" ht="18.75" x14ac:dyDescent="0.25">
      <c r="A64" s="4">
        <v>60</v>
      </c>
      <c r="B64" s="4" t="s">
        <v>43</v>
      </c>
      <c r="C64" s="4" t="s">
        <v>143</v>
      </c>
      <c r="D64" s="4">
        <v>26300</v>
      </c>
      <c r="E64" s="4"/>
      <c r="F64" s="4">
        <f t="shared" si="0"/>
        <v>-26300</v>
      </c>
    </row>
    <row r="65" spans="1:6" s="1" customFormat="1" ht="18.75" x14ac:dyDescent="0.25">
      <c r="A65" s="4">
        <v>61</v>
      </c>
      <c r="B65" s="4" t="s">
        <v>44</v>
      </c>
      <c r="C65" s="4" t="s">
        <v>144</v>
      </c>
      <c r="D65" s="4">
        <v>12575</v>
      </c>
      <c r="E65" s="4"/>
      <c r="F65" s="4">
        <f t="shared" si="0"/>
        <v>-12575</v>
      </c>
    </row>
    <row r="66" spans="1:6" s="1" customFormat="1" ht="18.75" x14ac:dyDescent="0.25">
      <c r="A66" s="4">
        <v>62</v>
      </c>
      <c r="B66" s="4" t="s">
        <v>45</v>
      </c>
      <c r="C66" s="4" t="s">
        <v>145</v>
      </c>
      <c r="D66" s="4">
        <v>6675</v>
      </c>
      <c r="E66" s="4"/>
      <c r="F66" s="4">
        <f t="shared" si="0"/>
        <v>-6675</v>
      </c>
    </row>
    <row r="67" spans="1:6" s="1" customFormat="1" ht="18.75" x14ac:dyDescent="0.25">
      <c r="A67" s="4">
        <v>63</v>
      </c>
      <c r="B67" s="4" t="s">
        <v>75</v>
      </c>
      <c r="C67" s="4" t="s">
        <v>146</v>
      </c>
      <c r="D67" s="4">
        <v>19940</v>
      </c>
      <c r="E67" s="4"/>
      <c r="F67" s="4">
        <f t="shared" si="0"/>
        <v>-19940</v>
      </c>
    </row>
    <row r="68" spans="1:6" s="1" customFormat="1" ht="18.75" x14ac:dyDescent="0.25">
      <c r="A68" s="4">
        <v>64</v>
      </c>
      <c r="B68" s="4" t="s">
        <v>46</v>
      </c>
      <c r="C68" s="4" t="s">
        <v>147</v>
      </c>
      <c r="D68" s="4">
        <v>4525</v>
      </c>
      <c r="E68" s="4"/>
      <c r="F68" s="4">
        <f t="shared" si="0"/>
        <v>-4525</v>
      </c>
    </row>
    <row r="69" spans="1:6" s="1" customFormat="1" ht="18.75" x14ac:dyDescent="0.25">
      <c r="A69" s="4">
        <v>65</v>
      </c>
      <c r="B69" s="4" t="s">
        <v>63</v>
      </c>
      <c r="C69" s="4" t="s">
        <v>148</v>
      </c>
      <c r="D69" s="4">
        <v>22025</v>
      </c>
      <c r="E69" s="4"/>
      <c r="F69" s="4">
        <f t="shared" ref="F69:F74" si="2">E69-D69</f>
        <v>-22025</v>
      </c>
    </row>
    <row r="70" spans="1:6" s="1" customFormat="1" ht="18.75" x14ac:dyDescent="0.25">
      <c r="A70" s="4">
        <v>66</v>
      </c>
      <c r="B70" s="4" t="s">
        <v>47</v>
      </c>
      <c r="C70" s="4" t="s">
        <v>149</v>
      </c>
      <c r="D70" s="4">
        <v>3565</v>
      </c>
      <c r="E70" s="4"/>
      <c r="F70" s="4">
        <f t="shared" si="2"/>
        <v>-3565</v>
      </c>
    </row>
    <row r="71" spans="1:6" s="1" customFormat="1" ht="18.75" x14ac:dyDescent="0.25">
      <c r="A71" s="4">
        <v>67</v>
      </c>
      <c r="B71" s="4" t="s">
        <v>48</v>
      </c>
      <c r="C71" s="4" t="s">
        <v>150</v>
      </c>
      <c r="D71" s="4">
        <v>18425</v>
      </c>
      <c r="E71" s="4"/>
      <c r="F71" s="4">
        <f t="shared" si="2"/>
        <v>-18425</v>
      </c>
    </row>
    <row r="72" spans="1:6" s="1" customFormat="1" ht="18.75" x14ac:dyDescent="0.25">
      <c r="A72" s="4">
        <v>68</v>
      </c>
      <c r="B72" s="4" t="s">
        <v>49</v>
      </c>
      <c r="C72" s="4" t="s">
        <v>151</v>
      </c>
      <c r="D72" s="4">
        <v>31880</v>
      </c>
      <c r="E72" s="4"/>
      <c r="F72" s="4">
        <f t="shared" si="2"/>
        <v>-31880</v>
      </c>
    </row>
    <row r="73" spans="1:6" s="1" customFormat="1" ht="18.75" x14ac:dyDescent="0.25">
      <c r="A73" s="4">
        <v>69</v>
      </c>
      <c r="B73" s="4" t="s">
        <v>50</v>
      </c>
      <c r="C73" s="4" t="s">
        <v>152</v>
      </c>
      <c r="D73" s="4">
        <v>39675</v>
      </c>
      <c r="E73" s="4"/>
      <c r="F73" s="4">
        <f t="shared" si="2"/>
        <v>-39675</v>
      </c>
    </row>
    <row r="74" spans="1:6" s="1" customFormat="1" ht="18.75" x14ac:dyDescent="0.25">
      <c r="A74" s="4">
        <v>70</v>
      </c>
      <c r="B74" s="4" t="s">
        <v>76</v>
      </c>
      <c r="C74" s="4" t="s">
        <v>153</v>
      </c>
      <c r="D74" s="8">
        <v>2260</v>
      </c>
      <c r="E74" s="8"/>
      <c r="F74" s="8">
        <f t="shared" si="2"/>
        <v>-2260</v>
      </c>
    </row>
    <row r="75" spans="1:6" s="1" customFormat="1" ht="18.75" x14ac:dyDescent="0.25">
      <c r="A75" s="4" t="s">
        <v>84</v>
      </c>
      <c r="B75" s="4" t="s">
        <v>51</v>
      </c>
      <c r="C75" s="9" t="s">
        <v>154</v>
      </c>
      <c r="D75" s="10"/>
      <c r="E75" s="10"/>
      <c r="F75" s="10"/>
    </row>
    <row r="76" spans="1:6" s="1" customFormat="1" ht="18.75" x14ac:dyDescent="0.3">
      <c r="A76" s="4" t="s">
        <v>82</v>
      </c>
      <c r="B76" s="4" t="s">
        <v>52</v>
      </c>
      <c r="C76" s="4" t="s">
        <v>81</v>
      </c>
      <c r="D76" s="12">
        <v>4870</v>
      </c>
      <c r="E76" s="12"/>
      <c r="F76" s="3">
        <f t="shared" ref="F76" si="3">E76-D76</f>
        <v>-4870</v>
      </c>
    </row>
    <row r="77" spans="1:6" s="1" customFormat="1" ht="18.75" x14ac:dyDescent="0.25">
      <c r="A77" s="4" t="s">
        <v>83</v>
      </c>
      <c r="B77" s="4" t="s">
        <v>53</v>
      </c>
      <c r="C77" s="4" t="s">
        <v>80</v>
      </c>
      <c r="D77" s="4"/>
      <c r="E77" s="4"/>
      <c r="F77" s="4"/>
    </row>
    <row r="78" spans="1:6" s="1" customFormat="1" ht="18.75" x14ac:dyDescent="0.3">
      <c r="A78" s="11" t="s">
        <v>156</v>
      </c>
      <c r="B78" s="11"/>
      <c r="C78" s="11"/>
      <c r="D78" s="11"/>
      <c r="E78" s="11"/>
      <c r="F78" s="11"/>
    </row>
    <row r="80" spans="1:6" x14ac:dyDescent="0.2">
      <c r="D80" s="2"/>
      <c r="E80" s="2"/>
      <c r="F80" s="2"/>
    </row>
  </sheetData>
  <mergeCells count="7">
    <mergeCell ref="A1:F1"/>
    <mergeCell ref="A2:C2"/>
    <mergeCell ref="D2:F2"/>
    <mergeCell ref="A3:A4"/>
    <mergeCell ref="B3:B4"/>
    <mergeCell ref="C3:C4"/>
    <mergeCell ref="D3:F3"/>
  </mergeCells>
  <conditionalFormatting sqref="F5:F74 F76:F77">
    <cfRule type="cellIs" dxfId="2" priority="1" operator="lessThan">
      <formula>0</formula>
    </cfRule>
    <cfRule type="cellIs" dxfId="1" priority="2" operator="greaterThan">
      <formula>400</formula>
    </cfRule>
    <cfRule type="cellIs" dxfId="0" priority="3" operator="between">
      <formula>0</formula>
      <formula>15</formula>
    </cfRule>
  </conditionalFormatting>
  <pageMargins left="0.70000000000000007" right="0.70000000000000007" top="1.1437007874015745" bottom="1.1437007874015745" header="0.74999999999999989" footer="0.74999999999999989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6A3C-396C-49D5-BD8B-C88F409054B5}">
  <dimension ref="A1"/>
  <sheetViews>
    <sheetView workbookViewId="0">
      <selection activeCell="D35" sqref="D35"/>
    </sheetView>
  </sheetViews>
  <sheetFormatPr defaultRowHeight="14.25" x14ac:dyDescent="0.2"/>
  <sheetData/>
  <sheetProtection algorithmName="SHA-512" hashValue="NrIr28FsEYhQbAEUkbZr7rU8ACxwxxfAdMfGMwtgbgAkef6zH1cAicnirqgZnp4DpkCg4HpY2ohD5hCmwOn/sA==" saltValue="hssrxasUyOIkjfpzEv7m+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2745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ЭЛЕКТРИЧЕСТВО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Feya</dc:creator>
  <cp:lastModifiedBy>Тимофей Ломакин</cp:lastModifiedBy>
  <cp:revision>13</cp:revision>
  <cp:lastPrinted>2025-10-23T10:51:48Z</cp:lastPrinted>
  <dcterms:created xsi:type="dcterms:W3CDTF">2022-12-09T14:31:26Z</dcterms:created>
  <dcterms:modified xsi:type="dcterms:W3CDTF">2025-11-19T11:38:05Z</dcterms:modified>
</cp:coreProperties>
</file>